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G20" i="1" l="1"/>
  <c r="G19" i="1"/>
  <c r="G17" i="1"/>
  <c r="G13" i="1"/>
  <c r="F13" i="1"/>
  <c r="G16" i="1" l="1"/>
</calcChain>
</file>

<file path=xl/sharedStrings.xml><?xml version="1.0" encoding="utf-8"?>
<sst xmlns="http://schemas.openxmlformats.org/spreadsheetml/2006/main" count="60" uniqueCount="36">
  <si>
    <t>年</t>
  </si>
  <si>
    <t>月</t>
    <phoneticPr fontId="3" type="noConversion"/>
  </si>
  <si>
    <t>日</t>
    <phoneticPr fontId="3" type="noConversion"/>
  </si>
  <si>
    <t>编号</t>
  </si>
  <si>
    <t>摘要</t>
  </si>
  <si>
    <t>支出</t>
    <phoneticPr fontId="3" type="noConversion"/>
  </si>
  <si>
    <t>收入</t>
    <phoneticPr fontId="3" type="noConversion"/>
  </si>
  <si>
    <t>余额（元）</t>
  </si>
  <si>
    <t>31</t>
  </si>
  <si>
    <t>03</t>
  </si>
  <si>
    <t>收到易方达私募基金管理有限公司划来3月代收党费</t>
  </si>
  <si>
    <t>收到广东新三联投资发展有限公司划来3月代收党费</t>
  </si>
  <si>
    <t>收到易方达财富管理基金销售（广州）有限公司划来3月代收党费</t>
  </si>
  <si>
    <t>收到易方达资产管理有限公司划来3月代收党费</t>
  </si>
  <si>
    <t>收到一季度银行利息</t>
  </si>
  <si>
    <t>支付DW0226030001直属党组织书记述职评议与党委工作（扩大）会议的会议费</t>
  </si>
  <si>
    <t>04</t>
  </si>
  <si>
    <t>30</t>
  </si>
  <si>
    <t>支付DW0126040008延安革命传统教育与学习培训（第五期）预付款</t>
  </si>
  <si>
    <t>05</t>
  </si>
  <si>
    <t>支付DW0126050005金融科技板块第二党支部赴南昌开展革命传统教育活动预付款</t>
  </si>
  <si>
    <t>收入组成：</t>
    <phoneticPr fontId="8" type="noConversion"/>
  </si>
  <si>
    <t>公司党员统一上缴</t>
    <phoneticPr fontId="3" type="noConversion"/>
  </si>
  <si>
    <t>其他党员自行上缴</t>
    <phoneticPr fontId="8" type="noConversion"/>
  </si>
  <si>
    <t>广发下拨</t>
    <phoneticPr fontId="3" type="noConversion"/>
  </si>
  <si>
    <t>党费账户利息收入</t>
    <phoneticPr fontId="8" type="noConversion"/>
  </si>
  <si>
    <t>合计：</t>
    <phoneticPr fontId="3" type="noConversion"/>
  </si>
  <si>
    <t>收到李四补缴党费款</t>
    <phoneticPr fontId="2" type="noConversion"/>
  </si>
  <si>
    <t>合计</t>
    <phoneticPr fontId="2" type="noConversion"/>
  </si>
  <si>
    <t>标签</t>
    <phoneticPr fontId="2" type="noConversion"/>
  </si>
  <si>
    <t>公司党员统一上缴</t>
    <phoneticPr fontId="2" type="noConversion"/>
  </si>
  <si>
    <t>党费账户利息收入</t>
    <phoneticPr fontId="2" type="noConversion"/>
  </si>
  <si>
    <t>支出</t>
    <phoneticPr fontId="2" type="noConversion"/>
  </si>
  <si>
    <t>其他党员自行上缴</t>
    <phoneticPr fontId="2" type="noConversion"/>
  </si>
  <si>
    <t>支付DW0226030002财务与基金运营板块党总支和A单位联合开展“绿色金融行”党建共建活动费用</t>
    <phoneticPr fontId="2" type="noConversion"/>
  </si>
  <si>
    <t>支付DW0226040003行政与人力资源管理党支部、一般机构板块党支部赴学校开展党建共建活动费用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</si>
</sst>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9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sz val="1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>
      <alignment vertical="center"/>
    </xf>
    <xf numFmtId="0" fontId="7" fillId="0" borderId="0">
      <alignment vertical="center"/>
    </xf>
  </cellStyleXfs>
  <cellXfs count="21">
    <xf numFmtId="0" fontId="0" fillId="0" borderId="0" xfId="0"/>
    <xf numFmtId="43" fontId="4" fillId="0" borderId="1" xfId="0" applyNumberFormat="1" applyFont="1" applyFill="1" applyBorder="1" applyAlignment="1">
      <alignment vertical="center"/>
    </xf>
    <xf numFmtId="0" fontId="5" fillId="0" borderId="1" xfId="2" applyFont="1" applyFill="1" applyBorder="1" applyAlignment="1">
      <alignment horizontal="center" vertical="center"/>
    </xf>
    <xf numFmtId="49" fontId="5" fillId="0" borderId="1" xfId="2" applyNumberFormat="1" applyFont="1" applyFill="1" applyBorder="1" applyAlignment="1">
      <alignment horizontal="center" vertical="center"/>
    </xf>
    <xf numFmtId="49" fontId="6" fillId="0" borderId="1" xfId="2" applyNumberFormat="1" applyFont="1" applyFill="1" applyBorder="1" applyAlignment="1">
      <alignment horizontal="center" vertical="center"/>
    </xf>
    <xf numFmtId="43" fontId="5" fillId="0" borderId="1" xfId="2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7" fillId="0" borderId="1" xfId="2" applyFill="1" applyBorder="1" applyAlignment="1">
      <alignment horizontal="center" vertical="center"/>
    </xf>
    <xf numFmtId="0" fontId="0" fillId="0" borderId="1" xfId="0" quotePrefix="1" applyNumberFormat="1" applyFill="1" applyBorder="1" applyAlignment="1"/>
    <xf numFmtId="0" fontId="7" fillId="0" borderId="1" xfId="2" quotePrefix="1" applyFill="1" applyBorder="1" applyAlignment="1">
      <alignment vertical="center"/>
    </xf>
    <xf numFmtId="43" fontId="0" fillId="0" borderId="1" xfId="1" quotePrefix="1" applyFont="1" applyFill="1" applyBorder="1" applyAlignment="1"/>
    <xf numFmtId="43" fontId="7" fillId="0" borderId="1" xfId="1" quotePrefix="1" applyFont="1" applyFill="1" applyBorder="1" applyAlignment="1">
      <alignment vertical="center"/>
    </xf>
    <xf numFmtId="0" fontId="0" fillId="0" borderId="0" xfId="0" applyFill="1" applyAlignment="1"/>
    <xf numFmtId="0" fontId="6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4" fontId="4" fillId="0" borderId="0" xfId="0" applyNumberFormat="1" applyFont="1" applyFill="1" applyAlignment="1">
      <alignment vertical="center"/>
    </xf>
    <xf numFmtId="43" fontId="4" fillId="0" borderId="0" xfId="0" applyNumberFormat="1" applyFont="1" applyFill="1" applyAlignment="1">
      <alignment vertical="center"/>
    </xf>
    <xf numFmtId="0" fontId="0" fillId="0" borderId="0" xfId="0" applyFill="1"/>
    <xf numFmtId="43" fontId="0" fillId="0" borderId="0" xfId="0" applyNumberFormat="1" applyFill="1" applyAlignment="1"/>
    <xf numFmtId="43" fontId="5" fillId="0" borderId="1" xfId="0" applyNumberFormat="1" applyFont="1" applyFill="1" applyBorder="1"/>
    <xf numFmtId="43" fontId="6" fillId="0" borderId="1" xfId="0" applyNumberFormat="1" applyFont="1" applyFill="1" applyBorder="1" applyAlignment="1">
      <alignment vertical="center"/>
    </xf>
  </cellXfs>
  <cellStyles count="3">
    <cellStyle name="常规" xfId="0" builtinId="0"/>
    <cellStyle name="常规 3" xfId="2"/>
    <cellStyle name="千位分隔" xfId="1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abSelected="1" zoomScale="115" zoomScaleNormal="115" workbookViewId="0">
      <selection activeCell="E20" sqref="E20"/>
    </sheetView>
  </sheetViews>
  <sheetFormatPr defaultRowHeight="14.4" x14ac:dyDescent="0.25"/>
  <cols>
    <col min="1" max="1" width="5.5546875" style="17" bestFit="1" customWidth="1"/>
    <col min="2" max="3" width="3.6640625" style="17" bestFit="1" customWidth="1"/>
    <col min="4" max="4" width="5.77734375" style="17" bestFit="1" customWidth="1"/>
    <col min="5" max="5" width="119.21875" style="17" bestFit="1" customWidth="1"/>
    <col min="6" max="7" width="13.88671875" style="17" bestFit="1" customWidth="1"/>
    <col min="8" max="8" width="14.77734375" style="17" bestFit="1" customWidth="1"/>
    <col min="9" max="9" width="20.44140625" style="17" bestFit="1" customWidth="1"/>
    <col min="10" max="16384" width="8.88671875" style="17"/>
  </cols>
  <sheetData>
    <row r="1" spans="1:10" s="6" customFormat="1" x14ac:dyDescent="0.25">
      <c r="A1" s="2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5" t="s">
        <v>5</v>
      </c>
      <c r="G1" s="5" t="s">
        <v>6</v>
      </c>
      <c r="H1" s="5" t="s">
        <v>7</v>
      </c>
      <c r="I1" s="6" t="s">
        <v>29</v>
      </c>
    </row>
    <row r="2" spans="1:10" s="12" customFormat="1" x14ac:dyDescent="0.25">
      <c r="A2" s="7">
        <v>2026</v>
      </c>
      <c r="B2" s="7" t="s">
        <v>9</v>
      </c>
      <c r="C2" s="7" t="s">
        <v>8</v>
      </c>
      <c r="D2" s="8"/>
      <c r="E2" s="9" t="s">
        <v>27</v>
      </c>
      <c r="F2" s="10"/>
      <c r="G2" s="10">
        <v>150</v>
      </c>
      <c r="H2" s="11"/>
      <c r="I2" s="18" t="s">
        <v>33</v>
      </c>
    </row>
    <row r="3" spans="1:10" s="12" customFormat="1" x14ac:dyDescent="0.25">
      <c r="A3" s="7">
        <v>2026</v>
      </c>
      <c r="B3" s="7" t="s">
        <v>9</v>
      </c>
      <c r="C3" s="7" t="s">
        <v>8</v>
      </c>
      <c r="D3" s="8"/>
      <c r="E3" s="9" t="s">
        <v>10</v>
      </c>
      <c r="F3" s="10"/>
      <c r="G3" s="10">
        <v>168.75</v>
      </c>
      <c r="H3" s="11"/>
      <c r="I3" s="18" t="s">
        <v>30</v>
      </c>
    </row>
    <row r="4" spans="1:10" s="12" customFormat="1" x14ac:dyDescent="0.25">
      <c r="A4" s="7">
        <v>2026</v>
      </c>
      <c r="B4" s="7" t="s">
        <v>9</v>
      </c>
      <c r="C4" s="7" t="s">
        <v>8</v>
      </c>
      <c r="D4" s="8"/>
      <c r="E4" s="9" t="s">
        <v>11</v>
      </c>
      <c r="F4" s="10"/>
      <c r="G4" s="10">
        <v>25</v>
      </c>
      <c r="H4" s="11"/>
      <c r="I4" s="18" t="s">
        <v>30</v>
      </c>
    </row>
    <row r="5" spans="1:10" s="12" customFormat="1" x14ac:dyDescent="0.25">
      <c r="A5" s="7">
        <v>2026</v>
      </c>
      <c r="B5" s="7" t="s">
        <v>9</v>
      </c>
      <c r="C5" s="7" t="s">
        <v>8</v>
      </c>
      <c r="D5" s="8"/>
      <c r="E5" s="9" t="s">
        <v>12</v>
      </c>
      <c r="F5" s="10"/>
      <c r="G5" s="10">
        <v>1125</v>
      </c>
      <c r="H5" s="11"/>
      <c r="I5" s="18" t="s">
        <v>30</v>
      </c>
    </row>
    <row r="6" spans="1:10" s="12" customFormat="1" x14ac:dyDescent="0.25">
      <c r="A6" s="7">
        <v>2026</v>
      </c>
      <c r="B6" s="7" t="s">
        <v>9</v>
      </c>
      <c r="C6" s="7" t="s">
        <v>8</v>
      </c>
      <c r="D6" s="8"/>
      <c r="E6" s="9" t="s">
        <v>13</v>
      </c>
      <c r="F6" s="10"/>
      <c r="G6" s="10">
        <v>192.5</v>
      </c>
      <c r="H6" s="11"/>
      <c r="I6" s="18" t="s">
        <v>30</v>
      </c>
    </row>
    <row r="7" spans="1:10" s="12" customFormat="1" x14ac:dyDescent="0.25">
      <c r="A7" s="7">
        <v>2026</v>
      </c>
      <c r="B7" s="7" t="s">
        <v>9</v>
      </c>
      <c r="C7" s="7" t="s">
        <v>8</v>
      </c>
      <c r="D7" s="8"/>
      <c r="E7" s="9" t="s">
        <v>14</v>
      </c>
      <c r="F7" s="10"/>
      <c r="G7" s="10">
        <v>45.58</v>
      </c>
      <c r="H7" s="11"/>
      <c r="I7" s="18" t="s">
        <v>31</v>
      </c>
    </row>
    <row r="8" spans="1:10" s="12" customFormat="1" x14ac:dyDescent="0.25">
      <c r="A8" s="7">
        <v>2026</v>
      </c>
      <c r="B8" s="7" t="s">
        <v>9</v>
      </c>
      <c r="C8" s="7" t="s">
        <v>8</v>
      </c>
      <c r="D8" s="8"/>
      <c r="E8" s="9" t="s">
        <v>15</v>
      </c>
      <c r="F8" s="10">
        <v>322.86</v>
      </c>
      <c r="G8" s="10"/>
      <c r="H8" s="11"/>
      <c r="I8" s="18" t="s">
        <v>32</v>
      </c>
    </row>
    <row r="9" spans="1:10" s="12" customFormat="1" x14ac:dyDescent="0.25">
      <c r="A9" s="7">
        <v>2026</v>
      </c>
      <c r="B9" s="7" t="s">
        <v>16</v>
      </c>
      <c r="C9" s="7" t="s">
        <v>17</v>
      </c>
      <c r="D9" s="8"/>
      <c r="E9" s="9" t="s">
        <v>34</v>
      </c>
      <c r="F9" s="10">
        <v>522.41</v>
      </c>
      <c r="G9" s="10"/>
      <c r="H9" s="11"/>
      <c r="I9" s="18" t="s">
        <v>32</v>
      </c>
    </row>
    <row r="10" spans="1:10" s="12" customFormat="1" x14ac:dyDescent="0.25">
      <c r="A10" s="7">
        <v>2026</v>
      </c>
      <c r="B10" s="7" t="s">
        <v>16</v>
      </c>
      <c r="C10" s="7" t="s">
        <v>17</v>
      </c>
      <c r="D10" s="8"/>
      <c r="E10" s="9" t="s">
        <v>35</v>
      </c>
      <c r="F10" s="10">
        <v>301.74</v>
      </c>
      <c r="G10" s="10"/>
      <c r="H10" s="11"/>
      <c r="I10" s="18" t="s">
        <v>32</v>
      </c>
    </row>
    <row r="11" spans="1:10" s="12" customFormat="1" x14ac:dyDescent="0.25">
      <c r="A11" s="7">
        <v>2026</v>
      </c>
      <c r="B11" s="7" t="s">
        <v>16</v>
      </c>
      <c r="C11" s="7" t="s">
        <v>17</v>
      </c>
      <c r="D11" s="8"/>
      <c r="E11" s="9" t="s">
        <v>18</v>
      </c>
      <c r="F11" s="10">
        <v>14556.5</v>
      </c>
      <c r="G11" s="10"/>
      <c r="H11" s="11"/>
      <c r="I11" s="18" t="s">
        <v>32</v>
      </c>
    </row>
    <row r="12" spans="1:10" s="12" customFormat="1" x14ac:dyDescent="0.25">
      <c r="A12" s="7">
        <v>2026</v>
      </c>
      <c r="B12" s="7" t="s">
        <v>19</v>
      </c>
      <c r="C12" s="7" t="s">
        <v>8</v>
      </c>
      <c r="D12" s="8"/>
      <c r="E12" s="9" t="s">
        <v>20</v>
      </c>
      <c r="F12" s="10">
        <v>6020.88</v>
      </c>
      <c r="G12" s="10"/>
      <c r="H12" s="11"/>
      <c r="I12" s="18" t="s">
        <v>32</v>
      </c>
    </row>
    <row r="13" spans="1:10" x14ac:dyDescent="0.25">
      <c r="E13" s="2" t="s">
        <v>28</v>
      </c>
      <c r="F13" s="19">
        <f>SUM(F2:F12)</f>
        <v>21724.39</v>
      </c>
      <c r="G13" s="19">
        <f>SUM(G2:G12)</f>
        <v>1706.83</v>
      </c>
    </row>
    <row r="15" spans="1:10" s="6" customFormat="1" x14ac:dyDescent="0.25">
      <c r="E15" s="13" t="s">
        <v>21</v>
      </c>
      <c r="F15" s="14"/>
      <c r="G15" s="14"/>
      <c r="I15" s="15"/>
      <c r="J15" s="15"/>
    </row>
    <row r="16" spans="1:10" s="6" customFormat="1" x14ac:dyDescent="0.25">
      <c r="E16" s="14" t="s">
        <v>22</v>
      </c>
      <c r="F16" s="14"/>
      <c r="G16" s="1">
        <f>G3+G4+G5+G6</f>
        <v>1511.25</v>
      </c>
      <c r="H16" s="16"/>
    </row>
    <row r="17" spans="5:11" s="6" customFormat="1" x14ac:dyDescent="0.25">
      <c r="E17" s="14" t="s">
        <v>23</v>
      </c>
      <c r="F17" s="14"/>
      <c r="G17" s="1">
        <f>G2</f>
        <v>150</v>
      </c>
      <c r="H17" s="16"/>
      <c r="I17" s="16"/>
      <c r="J17" s="15"/>
      <c r="K17" s="16"/>
    </row>
    <row r="18" spans="5:11" s="6" customFormat="1" x14ac:dyDescent="0.25">
      <c r="E18" s="14" t="s">
        <v>24</v>
      </c>
      <c r="F18" s="14"/>
      <c r="G18" s="1">
        <v>0</v>
      </c>
      <c r="H18" s="16"/>
    </row>
    <row r="19" spans="5:11" s="6" customFormat="1" x14ac:dyDescent="0.25">
      <c r="E19" s="14" t="s">
        <v>25</v>
      </c>
      <c r="F19" s="14"/>
      <c r="G19" s="1">
        <f>G7</f>
        <v>45.58</v>
      </c>
      <c r="H19" s="16"/>
      <c r="I19" s="16"/>
    </row>
    <row r="20" spans="5:11" s="6" customFormat="1" x14ac:dyDescent="0.25">
      <c r="E20" s="13" t="s">
        <v>26</v>
      </c>
      <c r="F20" s="14"/>
      <c r="G20" s="20">
        <f>SUM(G16:G19)</f>
        <v>1706.83</v>
      </c>
      <c r="H20" s="16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2026-05-25T08:22:15Z</dcterms:modified>
</cp:coreProperties>
</file>